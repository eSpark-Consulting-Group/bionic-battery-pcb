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8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<sst xmlns="http://schemas.openxmlformats.org/spreadsheetml/2006/main" count="312" uniqueCount="216">
  <si>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</si>
  <si>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</si>
  <si>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</si>
  <si>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</si>
  <si>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</si>
  <si>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</si>
  <si>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</si>
  <si>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Value</t>
  </si>
  <si>
    <t>Quantity</t>
  </si>
  <si>
    <t>Remarks</t>
  </si>
  <si>
    <t>Capacitor</t>
  </si>
  <si>
    <t>C1, C13, C25, C26, C27, C28, C32, C33, C35, C38, C42, C44</t>
  </si>
  <si>
    <t>CAP CER 0.1UF 25V X6S 0201</t>
  </si>
  <si>
    <t>CAP-0201</t>
  </si>
  <si>
    <t>GRM033C81E104KE14D</t>
  </si>
  <si>
    <t>Murata</t>
  </si>
  <si>
    <t>0.1uF</t>
  </si>
  <si>
    <t>C2, C3, C4, C5, C6, C21, C23, C41, C43</t>
  </si>
  <si>
    <t>CAP CER 10UF 10V X5R 0402</t>
  </si>
  <si>
    <t>Cap-0402</t>
  </si>
  <si>
    <t>CC0402MRX5R6BB106</t>
  </si>
  <si>
    <t>Yageo</t>
  </si>
  <si>
    <t>10uF</t>
  </si>
  <si>
    <t>C7, C8, C14, C15, C16</t>
  </si>
  <si>
    <t>CAP CER 10UF 25V X5R 0603</t>
  </si>
  <si>
    <t>CAP-0603</t>
  </si>
  <si>
    <t>TMK107BBJ106MA-T</t>
  </si>
  <si>
    <t>Taiyo Yuden</t>
  </si>
  <si>
    <t>C9</t>
  </si>
  <si>
    <t>CAP CER 0.1UF 50V X7R 0402</t>
  </si>
  <si>
    <t>cap-0402</t>
  </si>
  <si>
    <t>C1005X7R1H104KT000F</t>
  </si>
  <si>
    <t>TDK</t>
  </si>
  <si>
    <t>100nF</t>
  </si>
  <si>
    <t>C10, C24, C34</t>
  </si>
  <si>
    <t>CAP CER 1UF 16V X5R 0201</t>
  </si>
  <si>
    <t>GRM033R61C105ME15D</t>
  </si>
  <si>
    <t>1uF</t>
  </si>
  <si>
    <t>C12</t>
  </si>
  <si>
    <t>CL05A106MP5NUNC</t>
  </si>
  <si>
    <t>Samsung</t>
  </si>
  <si>
    <t>C17, C39, C40, C45</t>
  </si>
  <si>
    <t>CAP CER 4.7UF 16V X5R 0402</t>
  </si>
  <si>
    <t>CL05A475MO5NUNC</t>
  </si>
  <si>
    <t>4.7uF</t>
  </si>
  <si>
    <t>C18</t>
  </si>
  <si>
    <t>CAP CER 10000PF 25V X7R 0402</t>
  </si>
  <si>
    <t>VJ0402Y103JXXAC</t>
  </si>
  <si>
    <t>Vishay Vitramon</t>
  </si>
  <si>
    <t>1nF</t>
  </si>
  <si>
    <t>C20, C22, C29</t>
  </si>
  <si>
    <t>CAP CER 2.2UF 10V X5R 0201</t>
  </si>
  <si>
    <t>CC0201MRX5R6BB225</t>
  </si>
  <si>
    <t>2.2uF</t>
  </si>
  <si>
    <t>C30, C31</t>
  </si>
  <si>
    <t>CAP CER 30PF 50V C0G/NPO 0201</t>
  </si>
  <si>
    <t>Cap-0201</t>
  </si>
  <si>
    <t>CC0201FRNPO9BN300</t>
  </si>
  <si>
    <t>30pF</t>
  </si>
  <si>
    <t>C36, C37</t>
  </si>
  <si>
    <t>CAP CER 0.047UF 50V X7R 0402</t>
  </si>
  <si>
    <t>CC0402KRX7R9BB473</t>
  </si>
  <si>
    <t>47nF</t>
  </si>
  <si>
    <t>Header</t>
  </si>
  <si>
    <t>J2</t>
  </si>
  <si>
    <t>Gold 1A Straight Policy 1mm 4P 3.9mm -40℃~+105℃ 2.3mm 1.27mm Brass Black Single Row 1x4P Plugin,P=1.27mm Pin Headers ROHS</t>
  </si>
  <si>
    <t>Custom</t>
  </si>
  <si>
    <t>ZX-PZ1.27-1-4PZZ</t>
  </si>
  <si>
    <t>Megastar</t>
  </si>
  <si>
    <t>-</t>
  </si>
  <si>
    <t>Inductor</t>
  </si>
  <si>
    <t>L1</t>
  </si>
  <si>
    <t>FIXED IND 1UH 11A 11.9MOHM SM</t>
  </si>
  <si>
    <t>XFL4020-102MEC</t>
  </si>
  <si>
    <t>Coilcraft</t>
  </si>
  <si>
    <t>1uH</t>
  </si>
  <si>
    <t>L2</t>
  </si>
  <si>
    <t>1.55A 4.7uH ±20% SMD Power Inductors ROHS</t>
  </si>
  <si>
    <t>SLO252012F4R7MTT</t>
  </si>
  <si>
    <t>Sunltech Tech</t>
  </si>
  <si>
    <t>4.7uH</t>
  </si>
  <si>
    <t>LED</t>
  </si>
  <si>
    <t>LED1</t>
  </si>
  <si>
    <t>Green 520~535nm 0402 Light Emitting Diodes (LED) RoHS</t>
  </si>
  <si>
    <t>LED-0402</t>
  </si>
  <si>
    <t>16-213/GHC-YR1S1/3T</t>
  </si>
  <si>
    <t>Everlight Elec</t>
  </si>
  <si>
    <t>Buzzers</t>
  </si>
  <si>
    <t>LS1</t>
  </si>
  <si>
    <t>80dB Passive (external drive) Electromagnetic Type 4kHz SMD,5x5mm Buzzers ROHS</t>
  </si>
  <si>
    <t>FUET-5025</t>
  </si>
  <si>
    <t>FUET</t>
  </si>
  <si>
    <t>MOSFETs</t>
  </si>
  <si>
    <t>Q1</t>
  </si>
  <si>
    <t>MOSFET N-CH 20V 1A DFN1006-3</t>
  </si>
  <si>
    <t>DFN1006-3</t>
  </si>
  <si>
    <t>RV2C010UNT2L</t>
  </si>
  <si>
    <t>Rohm</t>
  </si>
  <si>
    <t>Resistor</t>
  </si>
  <si>
    <t>R1</t>
  </si>
  <si>
    <t>RES 100 OHM 1% 1/16W 0402</t>
  </si>
  <si>
    <t>Res-0402</t>
  </si>
  <si>
    <t>RC0402FR-07100RL</t>
  </si>
  <si>
    <t>100R</t>
  </si>
  <si>
    <t>R2, R3</t>
  </si>
  <si>
    <t>RES 4.7K OHM 1% 1/20W 0201</t>
  </si>
  <si>
    <t>Res-0201</t>
  </si>
  <si>
    <t>RC0201FR-074K7L</t>
  </si>
  <si>
    <t>4.7K</t>
  </si>
  <si>
    <t>R4, R5, R16, R19, R20, R21, R22, R24, R25, R26, R28, R29</t>
  </si>
  <si>
    <t>RES SMD 10K OHM 1% 1/20W 0201</t>
  </si>
  <si>
    <t>RC0201FR-0710KL</t>
  </si>
  <si>
    <t>10K</t>
  </si>
  <si>
    <t>R6</t>
  </si>
  <si>
    <t>RES SMD 2.2K OHM 1% 1/16W 0402</t>
  </si>
  <si>
    <t>RC0402FR-072K2L</t>
  </si>
  <si>
    <t>2.2K</t>
  </si>
  <si>
    <t>R7</t>
  </si>
  <si>
    <t>RES 3K OHM 1% 1/16W 0402</t>
  </si>
  <si>
    <t>RC0402FR-073KL</t>
  </si>
  <si>
    <t>3K</t>
  </si>
  <si>
    <t>Resistors</t>
  </si>
  <si>
    <t>R8</t>
  </si>
  <si>
    <t>RES SMD 137K OHM 0.1% 1/16W 0402</t>
  </si>
  <si>
    <t>RT0402BRD07137KL</t>
  </si>
  <si>
    <t>137K</t>
  </si>
  <si>
    <t>R9</t>
  </si>
  <si>
    <t>RES SMD 100K OHM 0.1% 1/16W 0402</t>
  </si>
  <si>
    <t>RT0402BRD07100KL</t>
  </si>
  <si>
    <t>100K</t>
  </si>
  <si>
    <t>R10</t>
  </si>
  <si>
    <t>RES SMD 5.23K OHM 1% 1/16W 0402</t>
  </si>
  <si>
    <t>CRCW04025K23FKED</t>
  </si>
  <si>
    <t>Vishay</t>
  </si>
  <si>
    <t>5.23K</t>
  </si>
  <si>
    <t>R11</t>
  </si>
  <si>
    <t>RES SMD 30.1KOHM 0.1% 1/16W 0402</t>
  </si>
  <si>
    <t>RT0402BRD0730K1L</t>
  </si>
  <si>
    <t>30.1K</t>
  </si>
  <si>
    <t>R15</t>
  </si>
  <si>
    <t>RES 499 OHM 1% 1/20W 0201</t>
  </si>
  <si>
    <t>RC0201FR-07499RL</t>
  </si>
  <si>
    <t>499R</t>
  </si>
  <si>
    <t>R17</t>
  </si>
  <si>
    <t>RES 1M OHM 1% 1/20W 0201</t>
  </si>
  <si>
    <t>RC0201FR-071ML</t>
  </si>
  <si>
    <t>1M</t>
  </si>
  <si>
    <t>R18</t>
  </si>
  <si>
    <t>RES 100 OHM Thick Film 0201 1% 1/20W ±200ppm/°C Molded SMD SMD Paper T/R</t>
  </si>
  <si>
    <t>RC0201FR-07100RL</t>
  </si>
  <si>
    <t>R23</t>
  </si>
  <si>
    <t>RES 5.1K OHM 1% 1/20W 0201</t>
  </si>
  <si>
    <t>RC0201FR-075K1L</t>
  </si>
  <si>
    <t>5.1K</t>
  </si>
  <si>
    <t>R27</t>
  </si>
  <si>
    <t>RES 1K OHM 1% 1/20W 0201</t>
  </si>
  <si>
    <t>RC0201FR-071KL</t>
  </si>
  <si>
    <t>1K</t>
  </si>
  <si>
    <t>Switch</t>
  </si>
  <si>
    <t>SW1</t>
  </si>
  <si>
    <t>No Without bracket 50mA 2.5mm 200,000 Times 1.6N 12V 1.6mm 0.55mm Vertical welding SPST SMD-4P,2.5x1.6mm Tactile Switches ROHS</t>
  </si>
  <si>
    <t>HX TS152605A 160gf</t>
  </si>
  <si>
    <t>hanxia</t>
  </si>
  <si>
    <t>SW2</t>
  </si>
  <si>
    <t>SWITCH TACTILE SPST-NO 0.05A 12V</t>
  </si>
  <si>
    <t>B3U-1000P</t>
  </si>
  <si>
    <t>Omron</t>
  </si>
  <si>
    <t>IC</t>
  </si>
  <si>
    <t>U1</t>
  </si>
  <si>
    <t>Charger IC Lithium Ion/Polymer 29-VQFN-HR (4x4)</t>
  </si>
  <si>
    <t>29-VQFN-HR (4x4)</t>
  </si>
  <si>
    <t>BQ25792RQMR</t>
  </si>
  <si>
    <t>Texas Instruments</t>
  </si>
  <si>
    <t>U2</t>
  </si>
  <si>
    <t>IC REG LINEAR 3.3V 1A 8DFN</t>
  </si>
  <si>
    <t>DFN-8(1.2x1.6)</t>
  </si>
  <si>
    <t>LD56100DPU33R</t>
  </si>
  <si>
    <t>STMicroelectronics</t>
  </si>
  <si>
    <t>U3</t>
  </si>
  <si>
    <t>ARM Cortex-M3 STM32 F1 Microcontroller 32-Bit 72MHz 64kB FLASH LQFP48 STM32F103C8T6</t>
  </si>
  <si>
    <t>48-LQFP (7x7)_</t>
  </si>
  <si>
    <t>STM32F103C8T6</t>
  </si>
  <si>
    <t>U4</t>
  </si>
  <si>
    <t>IC BATT MON LI-ION 1CELL 8WLP</t>
  </si>
  <si>
    <t>8-WLP (1.66x0.92)</t>
  </si>
  <si>
    <t>MAX17048X+T10</t>
  </si>
  <si>
    <t>Analog Devices Inc./Maxim Integrated</t>
  </si>
  <si>
    <t>U5</t>
  </si>
  <si>
    <t>IC BUF NON-INVERT 5.5V SOT23-5</t>
  </si>
  <si>
    <t>SOT-23-5</t>
  </si>
  <si>
    <t>SN74LV1T34DBVR</t>
  </si>
  <si>
    <t>RGB LED</t>
  </si>
  <si>
    <t>U6, U7</t>
  </si>
  <si>
    <t>Colorless transparence -40℃~+150℃ 正贴 RGB 120° 1010 Light Emitting Diodes (LED) ROHS</t>
  </si>
  <si>
    <t>XL-1010RGBC-WS2812B</t>
  </si>
  <si>
    <t>XINGLIGHT</t>
  </si>
  <si>
    <t>U8</t>
  </si>
  <si>
    <t>IC REG BOOST 5V 200MA SC70-6</t>
  </si>
  <si>
    <t>SC-70-6</t>
  </si>
  <si>
    <t>TPS61222DCKR</t>
  </si>
  <si>
    <t>U9</t>
  </si>
  <si>
    <t>SOIC-8-EP Battery Management ICs ROHS</t>
  </si>
  <si>
    <t>8-SO-EP_</t>
  </si>
  <si>
    <t>XB8886A</t>
  </si>
  <si>
    <t>XySemi</t>
  </si>
  <si>
    <t>Crystal</t>
  </si>
  <si>
    <t>X1</t>
  </si>
  <si>
    <t>8MHz Surface Mount Crystal 20pF ±10ppm ±30ppm SMD5032 Crystals ROHS</t>
  </si>
  <si>
    <t>SMD5032</t>
  </si>
  <si>
    <t>0153G2-8.000F20DTNJL</t>
  </si>
  <si>
    <t>HCI</t>
  </si>
  <si>
    <t>8MHz</t>
  </si>
  <si>
    <t>Periphrals</t>
  </si>
  <si>
    <t>1pc USB Type C Vertical Patch Board 24pin Data Plug Band PCB 24P Male Head 14P Female Socket Usb C Connector</t>
  </si>
  <si>
    <t>Female Socket Usb C Connector</t>
  </si>
  <si>
    <t>Aliexpress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</si>
</sst>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7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2" borderId="4" xfId="6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vi.aliexpress.com/item/100500742719621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45"/>
  <sheetViews>
    <sheetView tabSelected="1" workbookViewId="0">
      <selection activeCell="I34" sqref="I34:I43"/>
    </sheetView>
  </sheetViews>
  <sheetFormatPr defaultColWidth="9" defaultRowHeight="15"/>
  <cols>
    <col min="2" max="2" width="3.14285714285714" style="1" customWidth="1"/>
    <col min="3" max="3" width="18.7142857142857" style="1" customWidth="1"/>
    <col min="4" max="4" width="36" customWidth="1"/>
    <col min="5" max="5" width="30" customWidth="1"/>
    <col min="6" max="6" width="13.8571428571429" customWidth="1"/>
    <col min="7" max="7" width="33.4285714285714" customWidth="1"/>
    <col min="8" max="8" width="21.4285714285714" customWidth="1"/>
    <col min="9" max="9" width="6.71428571428571" customWidth="1"/>
    <col min="10" max="10" width="9.28571428571429" customWidth="1"/>
    <col min="11" max="11" width="10" customWidth="1"/>
  </cols>
  <sheetData>
    <row r="1" ht="15.75" spans="1:11">
      <c r="A1" s="2"/>
      <c r="B1" s="3"/>
      <c r="C1" s="3"/>
      <c r="D1" s="4"/>
      <c r="E1" s="4"/>
      <c r="F1" s="4"/>
      <c r="G1" s="4"/>
      <c r="H1" s="4"/>
      <c r="I1" s="14"/>
      <c r="J1" s="14"/>
      <c r="K1" s="14"/>
    </row>
    <row r="2" ht="15.75" spans="1:11">
      <c r="A2" s="2"/>
      <c r="B2" s="5" t="s">
        <v>0</v>
      </c>
      <c r="C2" s="5" t="s">
        <v>1</v>
      </c>
      <c r="D2" s="5" t="s">
        <v>2</v>
      </c>
      <c r="E2" s="6" t="s">
        <v>3</v>
      </c>
      <c r="F2" s="5" t="s">
        <v>4</v>
      </c>
      <c r="G2" s="6" t="s">
        <v>5</v>
      </c>
      <c r="H2" s="5" t="s">
        <v>6</v>
      </c>
      <c r="I2" s="6" t="s">
        <v>7</v>
      </c>
      <c r="J2" s="5" t="s">
        <v>8</v>
      </c>
      <c r="K2" s="5" t="s">
        <v>9</v>
      </c>
    </row>
    <row r="3" ht="24.75" spans="1:11">
      <c r="A3" s="2"/>
      <c r="B3" s="7">
        <f>ROW(B3)-ROW($B$2)</f>
        <v>1</v>
      </c>
      <c r="C3" s="8" t="s">
        <v>10</v>
      </c>
      <c r="D3" s="9" t="s">
        <v>11</v>
      </c>
      <c r="E3" s="10" t="s">
        <v>12</v>
      </c>
      <c r="F3" s="9" t="s">
        <v>13</v>
      </c>
      <c r="G3" s="10" t="s">
        <v>14</v>
      </c>
      <c r="H3" s="9" t="s">
        <v>15</v>
      </c>
      <c r="I3" s="10" t="s">
        <v>16</v>
      </c>
      <c r="J3" s="9">
        <v>12</v>
      </c>
      <c r="K3" s="9"/>
    </row>
    <row r="4" ht="15.75" spans="1:11">
      <c r="A4" s="2"/>
      <c r="B4" s="7">
        <f>ROW(B4)-ROW($B$2)</f>
        <v>2</v>
      </c>
      <c r="C4" s="8" t="s">
        <v>10</v>
      </c>
      <c r="D4" s="11" t="s">
        <v>17</v>
      </c>
      <c r="E4" s="12" t="s">
        <v>18</v>
      </c>
      <c r="F4" s="11" t="s">
        <v>19</v>
      </c>
      <c r="G4" s="12" t="s">
        <v>20</v>
      </c>
      <c r="H4" s="11" t="s">
        <v>21</v>
      </c>
      <c r="I4" s="12" t="s">
        <v>22</v>
      </c>
      <c r="J4" s="11">
        <v>9</v>
      </c>
      <c r="K4" s="11"/>
    </row>
    <row r="5" spans="1:11">
      <c r="A5" s="2"/>
      <c r="B5" s="7">
        <f>ROW(B5)-ROW($B$2)</f>
        <v>3</v>
      </c>
      <c r="C5" s="8" t="s">
        <v>10</v>
      </c>
      <c r="D5" s="9" t="s">
        <v>23</v>
      </c>
      <c r="E5" s="10" t="s">
        <v>24</v>
      </c>
      <c r="F5" s="9" t="s">
        <v>25</v>
      </c>
      <c r="G5" s="10" t="s">
        <v>26</v>
      </c>
      <c r="H5" s="9" t="s">
        <v>27</v>
      </c>
      <c r="I5" s="10" t="s">
        <v>22</v>
      </c>
      <c r="J5" s="9">
        <v>5</v>
      </c>
      <c r="K5" s="9"/>
    </row>
    <row r="6" spans="1:11">
      <c r="A6" s="2"/>
      <c r="B6" s="7">
        <f>ROW(B6)-ROW($B$2)</f>
        <v>4</v>
      </c>
      <c r="C6" s="8" t="s">
        <v>10</v>
      </c>
      <c r="D6" s="11" t="s">
        <v>28</v>
      </c>
      <c r="E6" s="12" t="s">
        <v>29</v>
      </c>
      <c r="F6" s="11" t="s">
        <v>30</v>
      </c>
      <c r="G6" s="12" t="s">
        <v>31</v>
      </c>
      <c r="H6" s="11" t="s">
        <v>32</v>
      </c>
      <c r="I6" s="12" t="s">
        <v>33</v>
      </c>
      <c r="J6" s="11">
        <v>1</v>
      </c>
      <c r="K6" s="11"/>
    </row>
    <row r="7" spans="1:11">
      <c r="A7" s="2"/>
      <c r="B7" s="7">
        <f>ROW(B7)-ROW($B$2)</f>
        <v>5</v>
      </c>
      <c r="C7" s="8" t="s">
        <v>10</v>
      </c>
      <c r="D7" s="9" t="s">
        <v>34</v>
      </c>
      <c r="E7" s="10" t="s">
        <v>35</v>
      </c>
      <c r="F7" s="9" t="s">
        <v>13</v>
      </c>
      <c r="G7" s="10" t="s">
        <v>36</v>
      </c>
      <c r="H7" s="9" t="s">
        <v>15</v>
      </c>
      <c r="I7" s="10" t="s">
        <v>37</v>
      </c>
      <c r="J7" s="9">
        <v>3</v>
      </c>
      <c r="K7" s="9"/>
    </row>
    <row r="8" spans="1:11">
      <c r="A8" s="2"/>
      <c r="B8" s="7">
        <f>ROW(B8)-ROW($B$2)</f>
        <v>6</v>
      </c>
      <c r="C8" s="8" t="s">
        <v>10</v>
      </c>
      <c r="D8" s="11" t="s">
        <v>38</v>
      </c>
      <c r="E8" s="12" t="s">
        <v>18</v>
      </c>
      <c r="F8" s="11" t="s">
        <v>19</v>
      </c>
      <c r="G8" s="12" t="s">
        <v>39</v>
      </c>
      <c r="H8" s="11" t="s">
        <v>40</v>
      </c>
      <c r="I8" s="12" t="s">
        <v>22</v>
      </c>
      <c r="J8" s="11">
        <v>1</v>
      </c>
      <c r="K8" s="11"/>
    </row>
    <row r="9" spans="1:11">
      <c r="A9" s="2"/>
      <c r="B9" s="7">
        <f>ROW(B9)-ROW($B$2)</f>
        <v>7</v>
      </c>
      <c r="C9" s="8" t="s">
        <v>10</v>
      </c>
      <c r="D9" s="9" t="s">
        <v>41</v>
      </c>
      <c r="E9" s="10" t="s">
        <v>42</v>
      </c>
      <c r="F9" s="9" t="s">
        <v>19</v>
      </c>
      <c r="G9" s="10" t="s">
        <v>43</v>
      </c>
      <c r="H9" s="9" t="s">
        <v>40</v>
      </c>
      <c r="I9" s="10" t="s">
        <v>44</v>
      </c>
      <c r="J9" s="9">
        <v>4</v>
      </c>
      <c r="K9" s="9"/>
    </row>
    <row r="10" spans="1:11">
      <c r="A10" s="2"/>
      <c r="B10" s="7">
        <f>ROW(B10)-ROW($B$2)</f>
        <v>8</v>
      </c>
      <c r="C10" s="8" t="s">
        <v>10</v>
      </c>
      <c r="D10" s="11" t="s">
        <v>45</v>
      </c>
      <c r="E10" s="12" t="s">
        <v>46</v>
      </c>
      <c r="F10" s="11" t="s">
        <v>19</v>
      </c>
      <c r="G10" s="12" t="s">
        <v>47</v>
      </c>
      <c r="H10" s="11" t="s">
        <v>48</v>
      </c>
      <c r="I10" s="12" t="s">
        <v>49</v>
      </c>
      <c r="J10" s="11">
        <v>1</v>
      </c>
      <c r="K10" s="11"/>
    </row>
    <row r="11" spans="1:11">
      <c r="A11" s="2"/>
      <c r="B11" s="7">
        <f>ROW(B11)-ROW($B$2)</f>
        <v>9</v>
      </c>
      <c r="C11" s="8" t="s">
        <v>10</v>
      </c>
      <c r="D11" s="9" t="s">
        <v>50</v>
      </c>
      <c r="E11" s="10" t="s">
        <v>51</v>
      </c>
      <c r="F11" s="9" t="s">
        <v>13</v>
      </c>
      <c r="G11" s="10" t="s">
        <v>52</v>
      </c>
      <c r="H11" s="9" t="s">
        <v>21</v>
      </c>
      <c r="I11" s="10" t="s">
        <v>53</v>
      </c>
      <c r="J11" s="9">
        <v>3</v>
      </c>
      <c r="K11" s="9"/>
    </row>
    <row r="12" spans="1:11">
      <c r="A12" s="2"/>
      <c r="B12" s="7">
        <f>ROW(B12)-ROW($B$2)</f>
        <v>10</v>
      </c>
      <c r="C12" s="8" t="s">
        <v>10</v>
      </c>
      <c r="D12" s="11" t="s">
        <v>54</v>
      </c>
      <c r="E12" s="12" t="s">
        <v>55</v>
      </c>
      <c r="F12" s="11" t="s">
        <v>56</v>
      </c>
      <c r="G12" s="12" t="s">
        <v>57</v>
      </c>
      <c r="H12" s="11" t="s">
        <v>21</v>
      </c>
      <c r="I12" s="12" t="s">
        <v>58</v>
      </c>
      <c r="J12" s="11">
        <v>2</v>
      </c>
      <c r="K12" s="11"/>
    </row>
    <row r="13" ht="15.75" spans="1:11">
      <c r="A13" s="2"/>
      <c r="B13" s="7">
        <f>ROW(B13)-ROW($B$2)</f>
        <v>11</v>
      </c>
      <c r="C13" s="8" t="s">
        <v>10</v>
      </c>
      <c r="D13" s="9" t="s">
        <v>59</v>
      </c>
      <c r="E13" s="10" t="s">
        <v>60</v>
      </c>
      <c r="F13" s="9" t="s">
        <v>19</v>
      </c>
      <c r="G13" s="10" t="s">
        <v>61</v>
      </c>
      <c r="H13" s="9" t="s">
        <v>21</v>
      </c>
      <c r="I13" s="10" t="s">
        <v>62</v>
      </c>
      <c r="J13" s="9">
        <v>2</v>
      </c>
      <c r="K13" s="9"/>
    </row>
    <row r="14" ht="48.75" spans="1:11">
      <c r="A14" s="2"/>
      <c r="B14" s="7">
        <f>ROW(B14)-ROW($B$2)</f>
        <v>12</v>
      </c>
      <c r="C14" s="8" t="s">
        <v>63</v>
      </c>
      <c r="D14" s="11" t="s">
        <v>64</v>
      </c>
      <c r="E14" s="12" t="s">
        <v>65</v>
      </c>
      <c r="F14" s="9" t="s">
        <v>66</v>
      </c>
      <c r="G14" s="12" t="s">
        <v>67</v>
      </c>
      <c r="H14" s="11" t="s">
        <v>68</v>
      </c>
      <c r="I14" s="12" t="s">
        <v>69</v>
      </c>
      <c r="J14" s="11">
        <v>1</v>
      </c>
      <c r="K14" s="11"/>
    </row>
    <row r="15" ht="15.75" spans="1:11">
      <c r="A15" s="2"/>
      <c r="B15" s="7">
        <f>ROW(B15)-ROW($B$2)</f>
        <v>13</v>
      </c>
      <c r="C15" s="13" t="s">
        <v>70</v>
      </c>
      <c r="D15" s="9" t="s">
        <v>71</v>
      </c>
      <c r="E15" s="10" t="s">
        <v>72</v>
      </c>
      <c r="F15" s="9" t="s">
        <v>66</v>
      </c>
      <c r="G15" s="10" t="s">
        <v>73</v>
      </c>
      <c r="H15" s="9" t="s">
        <v>74</v>
      </c>
      <c r="I15" s="10" t="s">
        <v>75</v>
      </c>
      <c r="J15" s="9">
        <v>1</v>
      </c>
      <c r="K15" s="9"/>
    </row>
    <row r="16" ht="24.75" spans="1:11">
      <c r="A16" s="2"/>
      <c r="B16" s="7">
        <f>ROW(B16)-ROW($B$2)</f>
        <v>14</v>
      </c>
      <c r="C16" s="8" t="s">
        <v>70</v>
      </c>
      <c r="D16" s="11" t="s">
        <v>76</v>
      </c>
      <c r="E16" s="12" t="s">
        <v>77</v>
      </c>
      <c r="F16" s="9" t="s">
        <v>66</v>
      </c>
      <c r="G16" s="12" t="s">
        <v>78</v>
      </c>
      <c r="H16" s="11" t="s">
        <v>79</v>
      </c>
      <c r="I16" s="12" t="s">
        <v>80</v>
      </c>
      <c r="J16" s="11">
        <v>1</v>
      </c>
      <c r="K16" s="11"/>
    </row>
    <row r="17" ht="24.75" spans="1:11">
      <c r="A17" s="2"/>
      <c r="B17" s="7">
        <f>ROW(B17)-ROW($B$2)</f>
        <v>15</v>
      </c>
      <c r="C17" s="13" t="s">
        <v>81</v>
      </c>
      <c r="D17" s="9" t="s">
        <v>82</v>
      </c>
      <c r="E17" s="10" t="s">
        <v>83</v>
      </c>
      <c r="F17" s="9" t="s">
        <v>84</v>
      </c>
      <c r="G17" s="10" t="s">
        <v>85</v>
      </c>
      <c r="H17" s="9" t="s">
        <v>86</v>
      </c>
      <c r="I17" s="10" t="s">
        <v>69</v>
      </c>
      <c r="J17" s="9">
        <v>1</v>
      </c>
      <c r="K17" s="9"/>
    </row>
    <row r="18" ht="36.75" spans="1:11">
      <c r="A18" s="2"/>
      <c r="B18" s="7">
        <f>ROW(B18)-ROW($B$2)</f>
        <v>16</v>
      </c>
      <c r="C18" s="8" t="s">
        <v>87</v>
      </c>
      <c r="D18" s="11" t="s">
        <v>88</v>
      </c>
      <c r="E18" s="12" t="s">
        <v>89</v>
      </c>
      <c r="F18" s="11" t="s">
        <v>90</v>
      </c>
      <c r="G18" s="12" t="s">
        <v>90</v>
      </c>
      <c r="H18" s="11" t="s">
        <v>91</v>
      </c>
      <c r="I18" s="10" t="s">
        <v>69</v>
      </c>
      <c r="J18" s="11">
        <v>1</v>
      </c>
      <c r="K18" s="11"/>
    </row>
    <row r="19" spans="1:11">
      <c r="A19" s="2"/>
      <c r="B19" s="7">
        <f>ROW(B19)-ROW($B$2)</f>
        <v>17</v>
      </c>
      <c r="C19" s="13" t="s">
        <v>92</v>
      </c>
      <c r="D19" s="9" t="s">
        <v>93</v>
      </c>
      <c r="E19" s="10" t="s">
        <v>94</v>
      </c>
      <c r="F19" s="9" t="s">
        <v>95</v>
      </c>
      <c r="G19" s="10" t="s">
        <v>96</v>
      </c>
      <c r="H19" s="9" t="s">
        <v>97</v>
      </c>
      <c r="I19" s="10" t="s">
        <v>69</v>
      </c>
      <c r="J19" s="9">
        <v>1</v>
      </c>
      <c r="K19" s="9"/>
    </row>
    <row r="20" spans="1:11">
      <c r="A20" s="2"/>
      <c r="B20" s="7">
        <f>ROW(B20)-ROW($B$2)</f>
        <v>18</v>
      </c>
      <c r="C20" s="8" t="s">
        <v>98</v>
      </c>
      <c r="D20" s="11" t="s">
        <v>99</v>
      </c>
      <c r="E20" s="12" t="s">
        <v>100</v>
      </c>
      <c r="F20" s="11" t="s">
        <v>101</v>
      </c>
      <c r="G20" s="12" t="s">
        <v>102</v>
      </c>
      <c r="H20" s="11" t="s">
        <v>21</v>
      </c>
      <c r="I20" s="12" t="s">
        <v>103</v>
      </c>
      <c r="J20" s="11">
        <v>1</v>
      </c>
      <c r="K20" s="11"/>
    </row>
    <row r="21" spans="1:11">
      <c r="A21" s="2"/>
      <c r="B21" s="7">
        <f>ROW(B21)-ROW($B$2)</f>
        <v>19</v>
      </c>
      <c r="C21" s="13" t="s">
        <v>98</v>
      </c>
      <c r="D21" s="9" t="s">
        <v>104</v>
      </c>
      <c r="E21" s="10" t="s">
        <v>105</v>
      </c>
      <c r="F21" s="9" t="s">
        <v>106</v>
      </c>
      <c r="G21" s="10" t="s">
        <v>107</v>
      </c>
      <c r="H21" s="9" t="s">
        <v>21</v>
      </c>
      <c r="I21" s="10" t="s">
        <v>108</v>
      </c>
      <c r="J21" s="9">
        <v>2</v>
      </c>
      <c r="K21" s="9"/>
    </row>
    <row r="22" ht="24.75" spans="1:11">
      <c r="A22" s="2"/>
      <c r="B22" s="7">
        <f>ROW(B22)-ROW($B$2)</f>
        <v>20</v>
      </c>
      <c r="C22" s="8" t="s">
        <v>98</v>
      </c>
      <c r="D22" s="11" t="s">
        <v>109</v>
      </c>
      <c r="E22" s="12" t="s">
        <v>110</v>
      </c>
      <c r="F22" s="11" t="s">
        <v>106</v>
      </c>
      <c r="G22" s="12" t="s">
        <v>111</v>
      </c>
      <c r="H22" s="11" t="s">
        <v>21</v>
      </c>
      <c r="I22" s="12" t="s">
        <v>112</v>
      </c>
      <c r="J22" s="11">
        <v>12</v>
      </c>
      <c r="K22" s="11"/>
    </row>
    <row r="23" spans="1:11">
      <c r="A23" s="2"/>
      <c r="B23" s="7">
        <f>ROW(B23)-ROW($B$2)</f>
        <v>21</v>
      </c>
      <c r="C23" s="8" t="s">
        <v>98</v>
      </c>
      <c r="D23" s="9" t="s">
        <v>113</v>
      </c>
      <c r="E23" s="10" t="s">
        <v>114</v>
      </c>
      <c r="F23" s="9" t="s">
        <v>101</v>
      </c>
      <c r="G23" s="10" t="s">
        <v>115</v>
      </c>
      <c r="H23" s="9" t="s">
        <v>21</v>
      </c>
      <c r="I23" s="10" t="s">
        <v>116</v>
      </c>
      <c r="J23" s="9">
        <v>1</v>
      </c>
      <c r="K23" s="9"/>
    </row>
    <row r="24" spans="1:11">
      <c r="A24" s="2"/>
      <c r="B24" s="7">
        <f>ROW(B24)-ROW($B$2)</f>
        <v>22</v>
      </c>
      <c r="C24" s="8" t="s">
        <v>98</v>
      </c>
      <c r="D24" s="11" t="s">
        <v>117</v>
      </c>
      <c r="E24" s="12" t="s">
        <v>118</v>
      </c>
      <c r="F24" s="11" t="s">
        <v>101</v>
      </c>
      <c r="G24" s="12" t="s">
        <v>119</v>
      </c>
      <c r="H24" s="11" t="s">
        <v>21</v>
      </c>
      <c r="I24" s="12" t="s">
        <v>120</v>
      </c>
      <c r="J24" s="11">
        <v>1</v>
      </c>
      <c r="K24" s="11"/>
    </row>
    <row r="25" ht="15.75" spans="1:11">
      <c r="A25" s="2"/>
      <c r="B25" s="7">
        <f>ROW(B25)-ROW($B$2)</f>
        <v>23</v>
      </c>
      <c r="C25" s="13" t="s">
        <v>121</v>
      </c>
      <c r="D25" s="9" t="s">
        <v>122</v>
      </c>
      <c r="E25" s="10" t="s">
        <v>123</v>
      </c>
      <c r="F25" s="9" t="s">
        <v>101</v>
      </c>
      <c r="G25" s="10" t="s">
        <v>124</v>
      </c>
      <c r="H25" s="9" t="s">
        <v>21</v>
      </c>
      <c r="I25" s="10" t="s">
        <v>125</v>
      </c>
      <c r="J25" s="9">
        <v>1</v>
      </c>
      <c r="K25" s="9"/>
    </row>
    <row r="26" ht="15.75" spans="1:11">
      <c r="A26" s="2"/>
      <c r="B26" s="7">
        <f>ROW(B26)-ROW($B$2)</f>
        <v>24</v>
      </c>
      <c r="C26" s="8" t="s">
        <v>98</v>
      </c>
      <c r="D26" s="11" t="s">
        <v>126</v>
      </c>
      <c r="E26" s="12" t="s">
        <v>127</v>
      </c>
      <c r="F26" s="11" t="s">
        <v>101</v>
      </c>
      <c r="G26" s="12" t="s">
        <v>128</v>
      </c>
      <c r="H26" s="11" t="s">
        <v>21</v>
      </c>
      <c r="I26" s="12" t="s">
        <v>129</v>
      </c>
      <c r="J26" s="11">
        <v>1</v>
      </c>
      <c r="K26" s="11"/>
    </row>
    <row r="27" ht="15.75" spans="1:11">
      <c r="A27" s="2"/>
      <c r="B27" s="7">
        <f>ROW(B27)-ROW($B$2)</f>
        <v>25</v>
      </c>
      <c r="C27" s="13" t="s">
        <v>121</v>
      </c>
      <c r="D27" s="9" t="s">
        <v>130</v>
      </c>
      <c r="E27" s="10" t="s">
        <v>131</v>
      </c>
      <c r="F27" s="9" t="s">
        <v>101</v>
      </c>
      <c r="G27" s="10" t="s">
        <v>132</v>
      </c>
      <c r="H27" s="9" t="s">
        <v>133</v>
      </c>
      <c r="I27" s="10" t="s">
        <v>134</v>
      </c>
      <c r="J27" s="9">
        <v>1</v>
      </c>
      <c r="K27" s="9"/>
    </row>
    <row r="28" ht="15.75" spans="1:11">
      <c r="A28" s="2"/>
      <c r="B28" s="7">
        <f>ROW(B28)-ROW($B$2)</f>
        <v>26</v>
      </c>
      <c r="C28" s="8" t="s">
        <v>98</v>
      </c>
      <c r="D28" s="11" t="s">
        <v>135</v>
      </c>
      <c r="E28" s="12" t="s">
        <v>136</v>
      </c>
      <c r="F28" s="11" t="s">
        <v>101</v>
      </c>
      <c r="G28" s="12" t="s">
        <v>137</v>
      </c>
      <c r="H28" s="11" t="s">
        <v>21</v>
      </c>
      <c r="I28" s="12" t="s">
        <v>138</v>
      </c>
      <c r="J28" s="11">
        <v>1</v>
      </c>
      <c r="K28" s="11"/>
    </row>
    <row r="29" ht="15.75" spans="1:11">
      <c r="A29" s="2"/>
      <c r="B29" s="7">
        <f>ROW(B29)-ROW($B$2)</f>
        <v>27</v>
      </c>
      <c r="C29" s="13" t="s">
        <v>98</v>
      </c>
      <c r="D29" s="9" t="s">
        <v>139</v>
      </c>
      <c r="E29" s="10" t="s">
        <v>140</v>
      </c>
      <c r="F29" s="9" t="s">
        <v>106</v>
      </c>
      <c r="G29" s="10" t="s">
        <v>141</v>
      </c>
      <c r="H29" s="9" t="s">
        <v>21</v>
      </c>
      <c r="I29" s="10" t="s">
        <v>142</v>
      </c>
      <c r="J29" s="9">
        <v>1</v>
      </c>
      <c r="K29" s="9"/>
    </row>
    <row r="30" ht="15.75" spans="1:11">
      <c r="A30" s="2"/>
      <c r="B30" s="7">
        <f>ROW(B30)-ROW($B$2)</f>
        <v>28</v>
      </c>
      <c r="C30" s="8" t="s">
        <v>98</v>
      </c>
      <c r="D30" s="11" t="s">
        <v>143</v>
      </c>
      <c r="E30" s="12" t="s">
        <v>144</v>
      </c>
      <c r="F30" s="11" t="s">
        <v>106</v>
      </c>
      <c r="G30" s="12" t="s">
        <v>145</v>
      </c>
      <c r="H30" s="11" t="s">
        <v>21</v>
      </c>
      <c r="I30" s="12" t="s">
        <v>146</v>
      </c>
      <c r="J30" s="11">
        <v>1</v>
      </c>
      <c r="K30" s="11"/>
    </row>
    <row r="31" ht="36.75" spans="1:11">
      <c r="A31" s="2"/>
      <c r="B31" s="7">
        <f>ROW(B31)-ROW($B$2)</f>
        <v>29</v>
      </c>
      <c r="C31" s="13" t="s">
        <v>98</v>
      </c>
      <c r="D31" s="9" t="s">
        <v>147</v>
      </c>
      <c r="E31" s="10" t="s">
        <v>148</v>
      </c>
      <c r="F31" s="9" t="s">
        <v>106</v>
      </c>
      <c r="G31" s="10" t="s">
        <v>149</v>
      </c>
      <c r="H31" s="9" t="s">
        <v>21</v>
      </c>
      <c r="I31" s="10" t="s">
        <v>103</v>
      </c>
      <c r="J31" s="9">
        <v>1</v>
      </c>
      <c r="K31" s="9"/>
    </row>
    <row r="32" ht="15.75" spans="1:11">
      <c r="A32" s="2"/>
      <c r="B32" s="7">
        <f>ROW(B32)-ROW($B$2)</f>
        <v>30</v>
      </c>
      <c r="C32" s="8" t="s">
        <v>98</v>
      </c>
      <c r="D32" s="11" t="s">
        <v>150</v>
      </c>
      <c r="E32" s="12" t="s">
        <v>151</v>
      </c>
      <c r="F32" s="11" t="s">
        <v>106</v>
      </c>
      <c r="G32" s="12" t="s">
        <v>152</v>
      </c>
      <c r="H32" s="11" t="s">
        <v>21</v>
      </c>
      <c r="I32" s="12" t="s">
        <v>153</v>
      </c>
      <c r="J32" s="11">
        <v>1</v>
      </c>
      <c r="K32" s="11"/>
    </row>
    <row r="33" ht="15.75" spans="1:11">
      <c r="A33" s="2"/>
      <c r="B33" s="7">
        <f>ROW(B33)-ROW($B$2)</f>
        <v>31</v>
      </c>
      <c r="C33" s="13" t="s">
        <v>98</v>
      </c>
      <c r="D33" s="9" t="s">
        <v>154</v>
      </c>
      <c r="E33" s="10" t="s">
        <v>155</v>
      </c>
      <c r="F33" s="9" t="s">
        <v>106</v>
      </c>
      <c r="G33" s="10" t="s">
        <v>156</v>
      </c>
      <c r="H33" s="9" t="s">
        <v>21</v>
      </c>
      <c r="I33" s="10" t="s">
        <v>157</v>
      </c>
      <c r="J33" s="9">
        <v>1</v>
      </c>
      <c r="K33" s="9"/>
    </row>
    <row r="34" ht="48.75" spans="1:11">
      <c r="A34" s="2"/>
      <c r="B34" s="7">
        <f>ROW(B34)-ROW($B$2)</f>
        <v>32</v>
      </c>
      <c r="C34" s="8" t="s">
        <v>158</v>
      </c>
      <c r="D34" s="11" t="s">
        <v>159</v>
      </c>
      <c r="E34" s="12" t="s">
        <v>160</v>
      </c>
      <c r="F34" s="9" t="s">
        <v>66</v>
      </c>
      <c r="G34" s="12" t="s">
        <v>161</v>
      </c>
      <c r="H34" s="11" t="s">
        <v>162</v>
      </c>
      <c r="I34" s="12" t="s">
        <v>69</v>
      </c>
      <c r="J34" s="11">
        <v>1</v>
      </c>
      <c r="K34" s="11"/>
    </row>
    <row r="35" ht="15.75" spans="1:11">
      <c r="A35" s="2"/>
      <c r="B35" s="7">
        <f>ROW(B35)-ROW($B$2)</f>
        <v>33</v>
      </c>
      <c r="C35" s="13" t="s">
        <v>158</v>
      </c>
      <c r="D35" s="9" t="s">
        <v>163</v>
      </c>
      <c r="E35" s="10" t="s">
        <v>164</v>
      </c>
      <c r="F35" s="9" t="s">
        <v>66</v>
      </c>
      <c r="G35" s="10" t="s">
        <v>165</v>
      </c>
      <c r="H35" s="9" t="s">
        <v>166</v>
      </c>
      <c r="I35" s="12" t="s">
        <v>69</v>
      </c>
      <c r="J35" s="9">
        <v>1</v>
      </c>
      <c r="K35" s="9"/>
    </row>
    <row r="36" ht="24.75" spans="1:11">
      <c r="A36" s="2"/>
      <c r="B36" s="7">
        <f>ROW(B36)-ROW($B$2)</f>
        <v>34</v>
      </c>
      <c r="C36" s="8" t="s">
        <v>167</v>
      </c>
      <c r="D36" s="11" t="s">
        <v>168</v>
      </c>
      <c r="E36" s="12" t="s">
        <v>169</v>
      </c>
      <c r="F36" s="11" t="s">
        <v>170</v>
      </c>
      <c r="G36" s="12" t="s">
        <v>171</v>
      </c>
      <c r="H36" s="11" t="s">
        <v>172</v>
      </c>
      <c r="I36" s="12" t="s">
        <v>69</v>
      </c>
      <c r="J36" s="11">
        <v>1</v>
      </c>
      <c r="K36" s="11"/>
    </row>
    <row r="37" spans="1:11">
      <c r="A37" s="2"/>
      <c r="B37" s="7">
        <f>ROW(B37)-ROW($B$2)</f>
        <v>35</v>
      </c>
      <c r="C37" s="13" t="s">
        <v>167</v>
      </c>
      <c r="D37" s="9" t="s">
        <v>173</v>
      </c>
      <c r="E37" s="10" t="s">
        <v>174</v>
      </c>
      <c r="F37" s="9" t="s">
        <v>175</v>
      </c>
      <c r="G37" s="10" t="s">
        <v>176</v>
      </c>
      <c r="H37" s="9" t="s">
        <v>177</v>
      </c>
      <c r="I37" s="12" t="s">
        <v>69</v>
      </c>
      <c r="J37" s="9">
        <v>1</v>
      </c>
      <c r="K37" s="9"/>
    </row>
    <row r="38" ht="36.75" spans="1:11">
      <c r="A38" s="2"/>
      <c r="B38" s="7">
        <f>ROW(B38)-ROW($B$2)</f>
        <v>36</v>
      </c>
      <c r="C38" s="13" t="s">
        <v>167</v>
      </c>
      <c r="D38" s="11" t="s">
        <v>178</v>
      </c>
      <c r="E38" s="12" t="s">
        <v>179</v>
      </c>
      <c r="F38" s="11" t="s">
        <v>180</v>
      </c>
      <c r="G38" s="12" t="s">
        <v>181</v>
      </c>
      <c r="H38" s="11" t="s">
        <v>177</v>
      </c>
      <c r="I38" s="12" t="s">
        <v>69</v>
      </c>
      <c r="J38" s="11">
        <v>1</v>
      </c>
      <c r="K38" s="11"/>
    </row>
    <row r="39" ht="24.75" spans="1:11">
      <c r="A39" s="2"/>
      <c r="B39" s="7">
        <f>ROW(B39)-ROW($B$2)</f>
        <v>37</v>
      </c>
      <c r="C39" s="13" t="s">
        <v>167</v>
      </c>
      <c r="D39" s="9" t="s">
        <v>182</v>
      </c>
      <c r="E39" s="10" t="s">
        <v>183</v>
      </c>
      <c r="F39" s="9" t="s">
        <v>184</v>
      </c>
      <c r="G39" s="10" t="s">
        <v>185</v>
      </c>
      <c r="H39" s="9" t="s">
        <v>186</v>
      </c>
      <c r="I39" s="12" t="s">
        <v>69</v>
      </c>
      <c r="J39" s="9">
        <v>1</v>
      </c>
      <c r="K39" s="9"/>
    </row>
    <row r="40" spans="1:11">
      <c r="A40" s="2"/>
      <c r="B40" s="7">
        <f>ROW(B40)-ROW($B$2)</f>
        <v>38</v>
      </c>
      <c r="C40" s="8" t="s">
        <v>167</v>
      </c>
      <c r="D40" s="11" t="s">
        <v>187</v>
      </c>
      <c r="E40" s="12" t="s">
        <v>188</v>
      </c>
      <c r="F40" s="11" t="s">
        <v>189</v>
      </c>
      <c r="G40" s="12" t="s">
        <v>190</v>
      </c>
      <c r="H40" s="11" t="s">
        <v>172</v>
      </c>
      <c r="I40" s="12" t="s">
        <v>69</v>
      </c>
      <c r="J40" s="11">
        <v>1</v>
      </c>
      <c r="K40" s="11"/>
    </row>
    <row r="41" ht="36.75" spans="1:11">
      <c r="A41" s="2"/>
      <c r="B41" s="7">
        <f>ROW(B41)-ROW($B$2)</f>
        <v>39</v>
      </c>
      <c r="C41" s="13" t="s">
        <v>191</v>
      </c>
      <c r="D41" s="9" t="s">
        <v>192</v>
      </c>
      <c r="E41" s="10" t="s">
        <v>193</v>
      </c>
      <c r="F41" s="9" t="s">
        <v>66</v>
      </c>
      <c r="G41" s="10" t="s">
        <v>194</v>
      </c>
      <c r="H41" s="9" t="s">
        <v>195</v>
      </c>
      <c r="I41" s="12" t="s">
        <v>69</v>
      </c>
      <c r="J41" s="9">
        <v>2</v>
      </c>
      <c r="K41" s="9"/>
    </row>
    <row r="42" spans="1:11">
      <c r="A42" s="2"/>
      <c r="B42" s="7">
        <f>ROW(B42)-ROW($B$2)</f>
        <v>40</v>
      </c>
      <c r="C42" s="8" t="s">
        <v>167</v>
      </c>
      <c r="D42" s="11" t="s">
        <v>196</v>
      </c>
      <c r="E42" s="12" t="s">
        <v>197</v>
      </c>
      <c r="F42" s="11" t="s">
        <v>198</v>
      </c>
      <c r="G42" s="12" t="s">
        <v>199</v>
      </c>
      <c r="H42" s="11" t="s">
        <v>172</v>
      </c>
      <c r="I42" s="12" t="s">
        <v>69</v>
      </c>
      <c r="J42" s="11">
        <v>1</v>
      </c>
      <c r="K42" s="11"/>
    </row>
    <row r="43" ht="24.75" spans="1:11">
      <c r="A43" s="2"/>
      <c r="B43" s="7">
        <f>ROW(B43)-ROW($B$2)</f>
        <v>41</v>
      </c>
      <c r="C43" s="13" t="s">
        <v>167</v>
      </c>
      <c r="D43" s="9" t="s">
        <v>200</v>
      </c>
      <c r="E43" s="10" t="s">
        <v>201</v>
      </c>
      <c r="F43" s="9" t="s">
        <v>202</v>
      </c>
      <c r="G43" s="10" t="s">
        <v>203</v>
      </c>
      <c r="H43" s="9" t="s">
        <v>204</v>
      </c>
      <c r="I43" s="12" t="s">
        <v>69</v>
      </c>
      <c r="J43" s="9">
        <v>1</v>
      </c>
      <c r="K43" s="9"/>
    </row>
    <row r="44" ht="36.75" spans="1:11">
      <c r="A44" s="2"/>
      <c r="B44" s="7">
        <f>ROW(B44)-ROW($B$2)</f>
        <v>42</v>
      </c>
      <c r="C44" s="8" t="s">
        <v>205</v>
      </c>
      <c r="D44" s="11" t="s">
        <v>206</v>
      </c>
      <c r="E44" s="12" t="s">
        <v>207</v>
      </c>
      <c r="F44" s="11" t="s">
        <v>208</v>
      </c>
      <c r="G44" s="12" t="s">
        <v>209</v>
      </c>
      <c r="H44" s="11" t="s">
        <v>210</v>
      </c>
      <c r="I44" s="12" t="s">
        <v>211</v>
      </c>
      <c r="J44" s="11">
        <v>1</v>
      </c>
      <c r="K44" s="11"/>
    </row>
    <row r="45" ht="48.75" spans="2:11">
      <c r="B45" s="7">
        <f>ROW(B45)-ROW($B$2)</f>
        <v>43</v>
      </c>
      <c r="C45" s="8" t="s">
        <v>212</v>
      </c>
      <c r="D45" s="11" t="s">
        <v>69</v>
      </c>
      <c r="E45" s="12" t="s">
        <v>213</v>
      </c>
      <c r="F45" s="11" t="s">
        <v>69</v>
      </c>
      <c r="G45" s="12" t="s">
        <v>214</v>
      </c>
      <c r="H45" s="11" t="s">
        <v>69</v>
      </c>
      <c r="I45" s="12" t="s">
        <v>69</v>
      </c>
      <c r="J45" s="11">
        <v>1</v>
      </c>
      <c r="K45" s="15" t="s">
        <v>215</v>
      </c>
    </row>
  </sheetData>
  <mergeCells count="1">
    <mergeCell ref="I1:K1"/>
  </mergeCells>
  <hyperlinks>
    <hyperlink ref="K45" r:id="rId1" display="Aliexpress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haroon traders</cp:lastModifiedBy>
  <dcterms:created xsi:type="dcterms:W3CDTF">2019-12-12T10:34:00Z</dcterms:created>
  <dcterms:modified xsi:type="dcterms:W3CDTF">2025-07-11T12:03:48Z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E3865ACE4F4B4A94BEFED71063DEC325_13</vt:lpwstr>
  </property>
  <property fmtid="{D5CDD505-2E9C-101B-9397-08002B2CF9AE}" pid="3" name="KSOProductBuildVer">
    <vt:lpwstr>2057-12.2.0.21931</vt:lpwstr>
  </property>
</Properties>
</file>